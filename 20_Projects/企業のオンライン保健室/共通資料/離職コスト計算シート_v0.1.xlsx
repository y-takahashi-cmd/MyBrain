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離職コスト計算" sheetId="1" state="visible" r:id="rId1"/>
  </sheets>
  <definedNames>
    <definedName name="_xlnm.Print_Area" localSheetId="0">'離職コスト計算'!$A$1:$E$40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円&quot;"/>
    <numFmt numFmtId="165" formatCode="#,##0.0"/>
    <numFmt numFmtId="166" formatCode="0.0&quot;人分&quot;"/>
  </numFmts>
  <fonts count="15">
    <font>
      <name val="Calibri"/>
      <family val="2"/>
      <color theme="1"/>
      <sz val="11"/>
      <scheme val="minor"/>
    </font>
    <font>
      <name val="Meiryo UI"/>
      <b val="1"/>
      <color rgb="00FFFFFF"/>
      <sz val="16"/>
    </font>
    <font>
      <name val="Meiryo UI"/>
      <color rgb="001F3A5F"/>
      <sz val="10"/>
    </font>
    <font>
      <name val="Meiryo UI"/>
      <color rgb="00555555"/>
      <sz val="9"/>
    </font>
    <font>
      <name val="Meiryo UI"/>
      <b val="1"/>
      <color rgb="00FFFFFF"/>
      <sz val="11"/>
    </font>
    <font>
      <name val="Meiryo UI"/>
      <color rgb="001F3A5F"/>
      <sz val="9"/>
    </font>
    <font>
      <name val="Meiryo UI"/>
      <color rgb="00333333"/>
      <sz val="10"/>
    </font>
    <font>
      <name val="Meiryo UI"/>
      <color rgb="00000000"/>
      <sz val="10"/>
    </font>
    <font>
      <name val="Meiryo UI"/>
      <color rgb="00666666"/>
      <sz val="8"/>
    </font>
    <font>
      <name val="Meiryo UI"/>
      <b val="1"/>
      <color rgb="001F3A5F"/>
      <sz val="10"/>
    </font>
    <font>
      <name val="Meiryo UI"/>
      <b val="1"/>
      <color rgb="001F3A5F"/>
      <sz val="11"/>
    </font>
    <font>
      <name val="Meiryo UI"/>
      <b val="1"/>
      <color rgb="00FFFFFF"/>
      <sz val="12"/>
    </font>
    <font>
      <name val="Meiryo UI"/>
      <b val="1"/>
      <color rgb="00FFFFFF"/>
      <sz val="14"/>
    </font>
    <font>
      <name val="Meiryo UI"/>
      <b val="1"/>
      <color rgb="001F3A5F"/>
      <sz val="12"/>
    </font>
    <font>
      <name val="Meiryo UI"/>
      <color rgb="00555555"/>
      <sz val="8"/>
    </font>
  </fonts>
  <fills count="7">
    <fill>
      <patternFill/>
    </fill>
    <fill>
      <patternFill patternType="gray125"/>
    </fill>
    <fill>
      <patternFill patternType="solid">
        <fgColor rgb="0074B2E0"/>
      </patternFill>
    </fill>
    <fill>
      <patternFill patternType="solid">
        <fgColor rgb="00EAF4FB"/>
      </patternFill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right" vertical="center" wrapText="1"/>
    </xf>
    <xf numFmtId="0" fontId="9" fillId="6" borderId="1" applyAlignment="1" pivotButton="0" quotePrefix="0" xfId="0">
      <alignment horizontal="right" vertical="center" wrapText="1"/>
    </xf>
    <xf numFmtId="164" fontId="10" fillId="6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left" vertical="center" wrapText="1"/>
    </xf>
    <xf numFmtId="9" fontId="7" fillId="5" borderId="1" applyAlignment="1" pivotButton="0" quotePrefix="0" xfId="0">
      <alignment horizontal="right" vertical="center" wrapText="1"/>
    </xf>
    <xf numFmtId="165" fontId="7" fillId="5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vertical="center" wrapText="1"/>
    </xf>
    <xf numFmtId="0" fontId="11" fillId="2" borderId="1" applyAlignment="1" pivotButton="0" quotePrefix="0" xfId="0">
      <alignment horizontal="right" vertical="center" wrapText="1"/>
    </xf>
    <xf numFmtId="164" fontId="12" fillId="2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right" vertical="center" wrapText="1"/>
    </xf>
    <xf numFmtId="164" fontId="13" fillId="6" borderId="1" applyAlignment="1" pivotButton="0" quotePrefix="0" xfId="0">
      <alignment horizontal="right" vertical="center" wrapText="1"/>
    </xf>
    <xf numFmtId="166" fontId="13" fillId="6" borderId="1" applyAlignment="1" pivotButton="0" quotePrefix="0" xfId="0">
      <alignment horizontal="right" vertical="center" wrapText="1"/>
    </xf>
    <xf numFmtId="0" fontId="1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8" customWidth="1" min="4" max="4"/>
    <col width="46" customWidth="1" min="5" max="5"/>
  </cols>
  <sheetData>
    <row r="1" ht="34" customHeight="1">
      <c r="A1" s="1" t="inlineStr">
        <is>
          <t>社員が1人辞めると、いくらかかる？</t>
        </is>
      </c>
    </row>
    <row r="2" ht="20" customHeight="1">
      <c r="A2" s="2" t="inlineStr">
        <is>
          <t>離職コスト計算シート　｜　企業のオンライン保健室</t>
        </is>
      </c>
    </row>
    <row r="3" ht="28" customHeight="1">
      <c r="A3" s="3" t="inlineStr">
        <is>
          <t>黄色のマスに、御社の数字を入れてください（入っている数字は例です）。分からない所は空欄のままで大丈夫です。</t>
        </is>
      </c>
    </row>
    <row r="5" ht="22" customHeight="1">
      <c r="A5" s="4" t="inlineStr">
        <is>
          <t>A　採る費用（1人を採用するまで）</t>
        </is>
      </c>
    </row>
    <row r="6" ht="30" customHeight="1">
      <c r="A6" s="5" t="inlineStr">
        <is>
          <t>1</t>
        </is>
      </c>
      <c r="B6" s="6" t="inlineStr">
        <is>
          <t>求人広告費・紹介手数料</t>
        </is>
      </c>
      <c r="C6" s="7" t="n">
        <v>500000</v>
      </c>
      <c r="D6" s="8" t="inlineStr">
        <is>
          <t>円</t>
        </is>
      </c>
      <c r="E6" s="9" t="inlineStr">
        <is>
          <t>求人サイト・人材紹介会社などに払った金額</t>
        </is>
      </c>
    </row>
    <row r="7" ht="30" customHeight="1">
      <c r="A7" s="5" t="inlineStr">
        <is>
          <t>2</t>
        </is>
      </c>
      <c r="B7" s="6" t="inlineStr">
        <is>
          <t>面接・選考にかかった時間（合計）</t>
        </is>
      </c>
      <c r="C7" s="10" t="n">
        <v>10</v>
      </c>
      <c r="D7" s="8" t="inlineStr">
        <is>
          <t>時間</t>
        </is>
      </c>
      <c r="E7" s="9" t="inlineStr">
        <is>
          <t>社長・担当者が書類選考や面接に使った時間</t>
        </is>
      </c>
    </row>
    <row r="8" ht="30" customHeight="1">
      <c r="A8" s="5" t="inlineStr">
        <is>
          <t>3</t>
        </is>
      </c>
      <c r="B8" s="6" t="inlineStr">
        <is>
          <t>その人たちの時給（目安）</t>
        </is>
      </c>
      <c r="C8" s="7" t="n">
        <v>4000</v>
      </c>
      <c r="D8" s="8" t="inlineStr">
        <is>
          <t>円</t>
        </is>
      </c>
      <c r="E8" s="9" t="inlineStr">
        <is>
          <t>年収÷2,000時間くらいが目安</t>
        </is>
      </c>
    </row>
    <row r="9" ht="24" customHeight="1">
      <c r="A9" s="11" t="inlineStr">
        <is>
          <t>A の合計</t>
        </is>
      </c>
      <c r="C9" s="12">
        <f>C6+C7*C8</f>
        <v/>
      </c>
      <c r="D9" s="13" t="inlineStr"/>
      <c r="E9" s="13" t="inlineStr"/>
    </row>
    <row r="11" ht="22" customHeight="1">
      <c r="A11" s="4" t="inlineStr">
        <is>
          <t>B　育てる費用（一人前になるまで）</t>
        </is>
      </c>
    </row>
    <row r="12" ht="30" customHeight="1">
      <c r="A12" s="5" t="inlineStr">
        <is>
          <t>4</t>
        </is>
      </c>
      <c r="B12" s="6" t="inlineStr">
        <is>
          <t>本人の月給</t>
        </is>
      </c>
      <c r="C12" s="7" t="n">
        <v>250000</v>
      </c>
      <c r="D12" s="8" t="inlineStr">
        <is>
          <t>円</t>
        </is>
      </c>
      <c r="E12" s="9" t="inlineStr">
        <is>
          <t>額面の月給</t>
        </is>
      </c>
    </row>
    <row r="13" ht="30" customHeight="1">
      <c r="A13" s="5" t="inlineStr">
        <is>
          <t>5</t>
        </is>
      </c>
      <c r="B13" s="6" t="inlineStr">
        <is>
          <t>一人前になるまでの月数</t>
        </is>
      </c>
      <c r="C13" s="10" t="n">
        <v>6</v>
      </c>
      <c r="D13" s="8" t="inlineStr">
        <is>
          <t>か月</t>
        </is>
      </c>
      <c r="E13" s="9" t="inlineStr">
        <is>
          <t>一人で任せられるようになるまでの期間</t>
        </is>
      </c>
    </row>
    <row r="14" ht="30" customHeight="1">
      <c r="A14" s="5" t="inlineStr">
        <is>
          <t>6</t>
        </is>
      </c>
      <c r="B14" s="6" t="inlineStr">
        <is>
          <t>その間の仕事の出来（一人前を100%として）</t>
        </is>
      </c>
      <c r="C14" s="14" t="n">
        <v>0.5</v>
      </c>
      <c r="D14" s="8" t="inlineStr"/>
      <c r="E14" s="9" t="inlineStr">
        <is>
          <t>例：半人前なら50%</t>
        </is>
      </c>
    </row>
    <row r="15" ht="30" customHeight="1">
      <c r="A15" s="5" t="inlineStr">
        <is>
          <t>7</t>
        </is>
      </c>
      <c r="B15" s="6" t="inlineStr">
        <is>
          <t>教える人が1日に使う時間</t>
        </is>
      </c>
      <c r="C15" s="15" t="n">
        <v>1</v>
      </c>
      <c r="D15" s="8" t="inlineStr">
        <is>
          <t>時間</t>
        </is>
      </c>
      <c r="E15" s="9" t="inlineStr">
        <is>
          <t>先輩・上司が教える・確認する時間</t>
        </is>
      </c>
    </row>
    <row r="16" ht="30" customHeight="1">
      <c r="A16" s="5" t="inlineStr">
        <is>
          <t>8</t>
        </is>
      </c>
      <c r="B16" s="6" t="inlineStr">
        <is>
          <t>教える日数</t>
        </is>
      </c>
      <c r="C16" s="10" t="n">
        <v>120</v>
      </c>
      <c r="D16" s="8" t="inlineStr">
        <is>
          <t>日</t>
        </is>
      </c>
      <c r="E16" s="9" t="inlineStr"/>
    </row>
    <row r="17" ht="30" customHeight="1">
      <c r="A17" s="5" t="inlineStr">
        <is>
          <t>9</t>
        </is>
      </c>
      <c r="B17" s="6" t="inlineStr">
        <is>
          <t>教える人の時給（目安）</t>
        </is>
      </c>
      <c r="C17" s="7" t="n">
        <v>3000</v>
      </c>
      <c r="D17" s="8" t="inlineStr">
        <is>
          <t>円</t>
        </is>
      </c>
      <c r="E17" s="9" t="inlineStr"/>
    </row>
    <row r="18" ht="30" customHeight="1">
      <c r="A18" s="5" t="inlineStr">
        <is>
          <t>10</t>
        </is>
      </c>
      <c r="B18" s="6" t="inlineStr">
        <is>
          <t>研修・講座・資格などの費用</t>
        </is>
      </c>
      <c r="C18" s="7" t="n">
        <v>100000</v>
      </c>
      <c r="D18" s="8" t="inlineStr">
        <is>
          <t>円</t>
        </is>
      </c>
      <c r="E18" s="9" t="inlineStr"/>
    </row>
    <row r="19" ht="24" customHeight="1">
      <c r="A19" s="11" t="inlineStr">
        <is>
          <t>B の合計</t>
        </is>
      </c>
      <c r="C19" s="12">
        <f>C12*1.15*C13*(1-C14)+C15*C16*C17+C18</f>
        <v/>
      </c>
      <c r="D19" s="13" t="inlineStr"/>
      <c r="E19" s="16" t="inlineStr">
        <is>
          <t>※給料は会社負担の社会保険料（約15%）を足して計算</t>
        </is>
      </c>
    </row>
    <row r="21" ht="22" customHeight="1">
      <c r="A21" s="4" t="inlineStr">
        <is>
          <t>C　抜けた間の損（辞めてから次の人が育つまで）</t>
        </is>
      </c>
    </row>
    <row r="22" ht="30" customHeight="1">
      <c r="A22" s="5" t="inlineStr">
        <is>
          <t>11</t>
        </is>
      </c>
      <c r="B22" s="6" t="inlineStr">
        <is>
          <t>人がいない期間</t>
        </is>
      </c>
      <c r="C22" s="10" t="n">
        <v>3</v>
      </c>
      <c r="D22" s="8" t="inlineStr">
        <is>
          <t>か月</t>
        </is>
      </c>
      <c r="E22" s="9" t="inlineStr">
        <is>
          <t>次の人が入るまで</t>
        </is>
      </c>
    </row>
    <row r="23" ht="30" customHeight="1">
      <c r="A23" s="5" t="inlineStr">
        <is>
          <t>12</t>
        </is>
      </c>
      <c r="B23" s="6" t="inlineStr">
        <is>
          <t>その間の残業代・外注費など（1か月あたり）</t>
        </is>
      </c>
      <c r="C23" s="7" t="n">
        <v>100000</v>
      </c>
      <c r="D23" s="8" t="inlineStr">
        <is>
          <t>円</t>
        </is>
      </c>
      <c r="E23" s="9" t="inlineStr">
        <is>
          <t>ほかの人が穴埋めした分</t>
        </is>
      </c>
    </row>
    <row r="24" ht="30" customHeight="1">
      <c r="A24" s="5" t="inlineStr">
        <is>
          <t>13</t>
        </is>
      </c>
      <c r="B24" s="6" t="inlineStr">
        <is>
          <t>お客様・売上への影響（分かれば）</t>
        </is>
      </c>
      <c r="C24" s="7" t="n">
        <v>0</v>
      </c>
      <c r="D24" s="8" t="inlineStr">
        <is>
          <t>円</t>
        </is>
      </c>
      <c r="E24" s="9" t="inlineStr">
        <is>
          <t>担当替えで離れたお客様、断った仕事など</t>
        </is>
      </c>
    </row>
    <row r="25" ht="24" customHeight="1">
      <c r="A25" s="11" t="inlineStr">
        <is>
          <t>C の合計</t>
        </is>
      </c>
      <c r="C25" s="12">
        <f>C22*C23+C24</f>
        <v/>
      </c>
      <c r="D25" s="13" t="inlineStr"/>
      <c r="E25" s="13" t="inlineStr"/>
    </row>
    <row r="27" ht="32" customHeight="1">
      <c r="A27" s="17" t="inlineStr">
        <is>
          <t>1人辞めたときのコスト（A＋B＋C）</t>
        </is>
      </c>
      <c r="C27" s="18">
        <f>C9+C19+C25</f>
        <v/>
      </c>
      <c r="D27" s="19" t="inlineStr"/>
    </row>
    <row r="29" ht="22" customHeight="1">
      <c r="A29" s="4" t="inlineStr">
        <is>
          <t>D　1年間で見ると</t>
        </is>
      </c>
    </row>
    <row r="30" ht="30" customHeight="1">
      <c r="A30" s="5" t="inlineStr">
        <is>
          <t>14</t>
        </is>
      </c>
      <c r="B30" s="6" t="inlineStr">
        <is>
          <t>1年間に辞めた人数</t>
        </is>
      </c>
      <c r="C30" s="10" t="n">
        <v>2</v>
      </c>
      <c r="D30" s="8" t="inlineStr">
        <is>
          <t>人</t>
        </is>
      </c>
      <c r="E30" s="9" t="inlineStr"/>
    </row>
    <row r="31" ht="26" customHeight="1">
      <c r="A31" s="20" t="inlineStr">
        <is>
          <t>1年間の離職コスト</t>
        </is>
      </c>
      <c r="C31" s="21">
        <f>C27*C30</f>
        <v/>
      </c>
      <c r="D31" s="13" t="inlineStr"/>
      <c r="E31" s="13" t="inlineStr"/>
    </row>
    <row r="33" ht="22" customHeight="1">
      <c r="A33" s="4" t="inlineStr">
        <is>
          <t>E　保健室の費用とくらべると</t>
        </is>
      </c>
    </row>
    <row r="34" ht="30" customHeight="1">
      <c r="A34" s="5" t="inlineStr">
        <is>
          <t>15</t>
        </is>
      </c>
      <c r="B34" s="6" t="inlineStr">
        <is>
          <t>保健室の1年間の費用</t>
        </is>
      </c>
      <c r="C34" s="7" t="n">
        <v>600000</v>
      </c>
      <c r="D34" s="8" t="inlineStr">
        <is>
          <t>円</t>
        </is>
      </c>
      <c r="E34" s="9" t="inlineStr">
        <is>
          <t>例：月50,000円×12か月</t>
        </is>
      </c>
    </row>
    <row r="35" ht="30" customHeight="1">
      <c r="A35" s="20" t="inlineStr">
        <is>
          <t>保健室の1年分は、何人分の離職コスト？</t>
        </is>
      </c>
      <c r="C35" s="22">
        <f>IF(C27=0,"",C34/C27)</f>
        <v/>
      </c>
      <c r="D35" s="23" t="inlineStr">
        <is>
          <t>1人分より少なければ、1人辞めずに済んだだけで元が取れる計算です</t>
        </is>
      </c>
    </row>
    <row r="37">
      <c r="A37" s="24" t="inlineStr">
        <is>
          <t>参考にした数字</t>
        </is>
      </c>
    </row>
    <row r="38" ht="26" customHeight="1">
      <c r="A38" s="25" t="inlineStr">
        <is>
          <t>・新卒1人を採用する費用の平均：約93.6万円（リクルート 就職みらい研究所「就職白書2020」、2019年度）</t>
        </is>
      </c>
    </row>
    <row r="39" ht="26" customHeight="1">
      <c r="A39" s="25" t="inlineStr">
        <is>
          <t>・社員1人が辞めたときの損失は、年収の約3分の1〜2倍という海外の調査があります（米国の調査。日本にそのまま当てはまるとは限りません）</t>
        </is>
      </c>
    </row>
    <row r="40" ht="26" customHeight="1">
      <c r="A40" s="25" t="inlineStr">
        <is>
          <t>・この計算は目安です。実際のコストは会社ごとに違うため、御社の数字で確かめるためのシートです。</t>
        </is>
      </c>
    </row>
  </sheetData>
  <mergeCells count="20">
    <mergeCell ref="A39:E39"/>
    <mergeCell ref="A11:E11"/>
    <mergeCell ref="A1:E1"/>
    <mergeCell ref="A25:B25"/>
    <mergeCell ref="D27:E27"/>
    <mergeCell ref="A37:E37"/>
    <mergeCell ref="A27:B27"/>
    <mergeCell ref="A3:E3"/>
    <mergeCell ref="A21:E21"/>
    <mergeCell ref="A2:E2"/>
    <mergeCell ref="A33:E33"/>
    <mergeCell ref="A5:E5"/>
    <mergeCell ref="A35:B35"/>
    <mergeCell ref="A29:E29"/>
    <mergeCell ref="A38:E38"/>
    <mergeCell ref="A19:B19"/>
    <mergeCell ref="A9:B9"/>
    <mergeCell ref="A31:B31"/>
    <mergeCell ref="A40:E40"/>
    <mergeCell ref="D35:E35"/>
  </mergeCells>
  <printOptions horizontalCentered="1"/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2026-10-10T10:21:16Z</dcterms:created>
  <dcterms:modified xmlns:dcterms="http://purl.org/dc/terms/" xmlns:xsi="http://www.w3.org/2001/XMLSchema-instance" xsi:type="dcterms:W3CDTF">2026-10-10T10:21:17Z</dcterms:modified>
</cp:coreProperties>
</file>